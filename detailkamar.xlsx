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last\kost_app_05222026-KirimWa\"/>
    </mc:Choice>
  </mc:AlternateContent>
  <xr:revisionPtr revIDLastSave="0" documentId="13_ncr:1_{914A89EC-5CF2-4ADC-8DAF-00161CE3DEAC}" xr6:coauthVersionLast="47" xr6:coauthVersionMax="47" xr10:uidLastSave="{00000000-0000-0000-0000-000000000000}"/>
  <bookViews>
    <workbookView xWindow="6735" yWindow="1575" windowWidth="15750" windowHeight="13710" activeTab="3" xr2:uid="{00000000-000D-0000-FFFF-FFFF00000000}"/>
  </bookViews>
  <sheets>
    <sheet name="Info Kamar" sheetId="1" r:id="rId1"/>
    <sheet name="Fasilitas Umum" sheetId="2" r:id="rId2"/>
    <sheet name="Harga &amp; Paket" sheetId="3" r:id="rId3"/>
    <sheet name="Info Ko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D4" i="3"/>
  <c r="C4" i="3"/>
  <c r="E3" i="3"/>
  <c r="D3" i="3"/>
  <c r="C3" i="3"/>
</calcChain>
</file>

<file path=xl/sharedStrings.xml><?xml version="1.0" encoding="utf-8"?>
<sst xmlns="http://schemas.openxmlformats.org/spreadsheetml/2006/main" count="282" uniqueCount="173">
  <si>
    <t>🏠  DATA KAMAR KOST  —  Template Detail Kamar</t>
  </si>
  <si>
    <t>Isi kolom di bawah ini. Kolom bertanda (*) wajib diisi. Baris contoh sudah ada — hapus &amp; ganti dengan data asli.</t>
  </si>
  <si>
    <t>No. Kamar *</t>
  </si>
  <si>
    <t>Lantai</t>
  </si>
  <si>
    <t>Tipe Kamar *</t>
  </si>
  <si>
    <t>Harga/Bulan (Rp) *</t>
  </si>
  <si>
    <t>Status *
(kosong/isi)</t>
  </si>
  <si>
    <t>Luas (m²)</t>
  </si>
  <si>
    <t>Kapasitas
(orang)</t>
  </si>
  <si>
    <t>Deskripsi Kamar</t>
  </si>
  <si>
    <t>Fasilitas Dalam Kamar</t>
  </si>
  <si>
    <t>Catatan Tambahan</t>
  </si>
  <si>
    <t>isi</t>
  </si>
  <si>
    <t>Standard AC</t>
  </si>
  <si>
    <t>📌  PETUNJUK PENGISIAN:  Status diisi 'kosong' atau 'isi'  |  Harga dalam angka (tanpa titik/koma)  |  Pisahkan fasilitas dengan koma</t>
  </si>
  <si>
    <t>✨  FASILITAS UMUM KOST</t>
  </si>
  <si>
    <t>Daftar fasilitas bersama yang tersedia di kost. Tambah/hapus baris sesuai kondisi nyata.</t>
  </si>
  <si>
    <t>Nama Fasilitas *</t>
  </si>
  <si>
    <t>Kategori</t>
  </si>
  <si>
    <t>Kondisi
(baik/rusak/perlu perbaikan)</t>
  </si>
  <si>
    <t>Jumlah</t>
  </si>
  <si>
    <t>Lokasi di Kost</t>
  </si>
  <si>
    <t>Keterangan Tambahan</t>
  </si>
  <si>
    <t>WiFi / Internet</t>
  </si>
  <si>
    <t>Konektivitas</t>
  </si>
  <si>
    <t>baik</t>
  </si>
  <si>
    <t>Seluruh area</t>
  </si>
  <si>
    <t>Password tersedia di resepsionis</t>
  </si>
  <si>
    <t>Area Parkir Motor</t>
  </si>
  <si>
    <t>Parkir</t>
  </si>
  <si>
    <t>Halaman depan</t>
  </si>
  <si>
    <t>1 slot per kamar</t>
  </si>
  <si>
    <t>Area Parkir Mobil</t>
  </si>
  <si>
    <t>Samping gedung</t>
  </si>
  <si>
    <t>Kapasitas terbatas</t>
  </si>
  <si>
    <t>Dapur Bersama</t>
  </si>
  <si>
    <t>Fasilitas Umum</t>
  </si>
  <si>
    <t>Lantai 1</t>
  </si>
  <si>
    <t>Dilengkapi kompor &amp; kulkas</t>
  </si>
  <si>
    <t>Kulkas Bersama</t>
  </si>
  <si>
    <t>Dapur lantai 1</t>
  </si>
  <si>
    <t>Dibersihkan setiap minggu</t>
  </si>
  <si>
    <t>Mesin Cuci</t>
  </si>
  <si>
    <t>Laundry</t>
  </si>
  <si>
    <t>Bayar Rp 5.000/kg atau mandiri</t>
  </si>
  <si>
    <t>Kamar Mandi Bersama</t>
  </si>
  <si>
    <t>Kebersihan</t>
  </si>
  <si>
    <t>Per lantai</t>
  </si>
  <si>
    <t>Dibersihkan 2x sehari</t>
  </si>
  <si>
    <t>Tempat Jemuran</t>
  </si>
  <si>
    <t>Lantai 3 / Atap</t>
  </si>
  <si>
    <t>CCTV</t>
  </si>
  <si>
    <t>Keamanan</t>
  </si>
  <si>
    <t>Area strategis</t>
  </si>
  <si>
    <t>Rekaman 7 hari</t>
  </si>
  <si>
    <t>Kunci Pintu Pagar</t>
  </si>
  <si>
    <t>Pintu utama</t>
  </si>
  <si>
    <t>Sistem kunci + intercom</t>
  </si>
  <si>
    <t>Lobby / Ruang Tamu</t>
  </si>
  <si>
    <t>Umum</t>
  </si>
  <si>
    <t>Sofa &amp; meja tamu</t>
  </si>
  <si>
    <t>Musholla / Tempat Ibadah</t>
  </si>
  <si>
    <t>Ibadah</t>
  </si>
  <si>
    <t>Lantai 2</t>
  </si>
  <si>
    <t>Perlengkapan ibadah tersedia</t>
  </si>
  <si>
    <t>Tempat Sampah</t>
  </si>
  <si>
    <t>Setiap lantai</t>
  </si>
  <si>
    <t>Dipilah organik &amp; anorganik</t>
  </si>
  <si>
    <t>Dispenser Air</t>
  </si>
  <si>
    <t>Air minum gratis</t>
  </si>
  <si>
    <t>Listrik Token/Pulsa</t>
  </si>
  <si>
    <t>Utilitas</t>
  </si>
  <si>
    <t>Per kamar</t>
  </si>
  <si>
    <t>Token beli mandiri</t>
  </si>
  <si>
    <t>📌  Tambahkan baris baru di bawah untuk fasilitas lain  |  Kategori bebas diisi sesuai kebutuhan</t>
  </si>
  <si>
    <t>💰  DAFTAR HARGA &amp; PAKET SEWA</t>
  </si>
  <si>
    <t>Harga Bulanan (Rp) *</t>
  </si>
  <si>
    <t>Harga 3 Bulan (Rp)</t>
  </si>
  <si>
    <t>Harga 6 Bulan (Rp)</t>
  </si>
  <si>
    <t>Harga Tahunan (Rp)</t>
  </si>
  <si>
    <t>Deposit (Rp)</t>
  </si>
  <si>
    <t>Keterangan</t>
  </si>
  <si>
    <t>Dengan AC, 1 penghuni</t>
  </si>
  <si>
    <t>📋  BIAYA TAMBAHAN &amp; ATURAN</t>
  </si>
  <si>
    <t>Listrik</t>
  </si>
  <si>
    <t>Token mandiri</t>
  </si>
  <si>
    <t>Per bulan</t>
  </si>
  <si>
    <t>Sesuai pemakaian</t>
  </si>
  <si>
    <t>Token PLN beli sendiri</t>
  </si>
  <si>
    <t>Air</t>
  </si>
  <si>
    <t>Sudah termasuk</t>
  </si>
  <si>
    <t>Gratis</t>
  </si>
  <si>
    <t>Dalam harga sewa</t>
  </si>
  <si>
    <t>WiFi</t>
  </si>
  <si>
    <t>Per cuci</t>
  </si>
  <si>
    <t>Denda Terlambat</t>
  </si>
  <si>
    <t>Rp 50.000/hari</t>
  </si>
  <si>
    <t>Per hari</t>
  </si>
  <si>
    <t>Setelah jatuh tempo</t>
  </si>
  <si>
    <t>Maks H+7</t>
  </si>
  <si>
    <t>🏠  INFORMASI UMUM KOST</t>
  </si>
  <si>
    <t>Isi / Nilai</t>
  </si>
  <si>
    <t>Catatan</t>
  </si>
  <si>
    <t>Nama Kost</t>
  </si>
  <si>
    <t>Kost [Nama Kost Anda]</t>
  </si>
  <si>
    <t>Alamat Lengkap</t>
  </si>
  <si>
    <t>Kelurahan</t>
  </si>
  <si>
    <t>[Kelurahan]</t>
  </si>
  <si>
    <t>Kecamatan</t>
  </si>
  <si>
    <t>[Kecamatan]</t>
  </si>
  <si>
    <t>Kota</t>
  </si>
  <si>
    <t>[Kota]</t>
  </si>
  <si>
    <t>Provinsi</t>
  </si>
  <si>
    <t>[Provinsi]</t>
  </si>
  <si>
    <t>Kode Pos</t>
  </si>
  <si>
    <t>[12345]</t>
  </si>
  <si>
    <t>No. HP / WA Admin</t>
  </si>
  <si>
    <t>08159959605</t>
  </si>
  <si>
    <t>Nama Admin / Pemilik</t>
  </si>
  <si>
    <t>[Nama Pemilik]</t>
  </si>
  <si>
    <t>Email</t>
  </si>
  <si>
    <t>[email@domain.com]</t>
  </si>
  <si>
    <t>Opsional</t>
  </si>
  <si>
    <t>Jam Layanan Admin</t>
  </si>
  <si>
    <t>08.00 – 21.00 WIB</t>
  </si>
  <si>
    <t>Sesuaikan jam operasional</t>
  </si>
  <si>
    <t>Jumlah Kamar Total</t>
  </si>
  <si>
    <t>Update jika ada perubahan</t>
  </si>
  <si>
    <t>Jenis Kost</t>
  </si>
  <si>
    <t>Campur / Putra / Putri</t>
  </si>
  <si>
    <t>Pilih salah satu</t>
  </si>
  <si>
    <t>Aturan Tamu</t>
  </si>
  <si>
    <t>Dilarang menginap, tamu sampai jam 22.00</t>
  </si>
  <si>
    <t>Jam Malam / Curfew</t>
  </si>
  <si>
    <t>23.00 WIB</t>
  </si>
  <si>
    <t>Aturan Merokok</t>
  </si>
  <si>
    <t>Dilarang merokok di dalam kamar</t>
  </si>
  <si>
    <t>Aturan Hewan Peliharaan</t>
  </si>
  <si>
    <t>Tidak diperbolehkan</t>
  </si>
  <si>
    <t>Metode Pembayaran</t>
  </si>
  <si>
    <t>Transfer bank, tunai</t>
  </si>
  <si>
    <t>Tambahkan jika ada e-wallet</t>
  </si>
  <si>
    <t>No. Rekening</t>
  </si>
  <si>
    <t>[No. Rek] a.n. [Nama]</t>
  </si>
  <si>
    <t>Bank [Nama Bank]</t>
  </si>
  <si>
    <t>Link Maps / Lokasi</t>
  </si>
  <si>
    <t>https://maps.google.com/...</t>
  </si>
  <si>
    <t>Paste link Google Maps</t>
  </si>
  <si>
    <t>M101</t>
  </si>
  <si>
    <t>M102</t>
  </si>
  <si>
    <t>M103</t>
  </si>
  <si>
    <t>M104</t>
  </si>
  <si>
    <t>M105</t>
  </si>
  <si>
    <t>M201</t>
  </si>
  <si>
    <t>M202</t>
  </si>
  <si>
    <t>M203</t>
  </si>
  <si>
    <t>M204</t>
  </si>
  <si>
    <t>M205</t>
  </si>
  <si>
    <t>404-405</t>
  </si>
  <si>
    <t>M1</t>
  </si>
  <si>
    <t>M2</t>
  </si>
  <si>
    <t>kosong</t>
  </si>
  <si>
    <t>Single</t>
  </si>
  <si>
    <t>Double</t>
  </si>
  <si>
    <t>Dengan AC, 2 penghuni, springbed King</t>
  </si>
  <si>
    <t>Tidak Tersedia</t>
  </si>
  <si>
    <t>Parkir Motor Dalam</t>
  </si>
  <si>
    <t>Thalib Residence</t>
  </si>
  <si>
    <t>Jalan Talib I No. 33C</t>
  </si>
  <si>
    <t>Jl. [Nama Jalan], No. [X]</t>
  </si>
  <si>
    <t>Taman Sari</t>
  </si>
  <si>
    <t>Jakarta Pusat</t>
  </si>
  <si>
    <t>DKI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</si>
</sst>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7F8C8D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2980B9"/>
      <name val="Arial"/>
    </font>
    <font>
      <b/>
      <sz val="15"/>
      <color rgb="FFFFFFFF"/>
      <name val="Arial"/>
    </font>
    <font>
      <sz val="10"/>
      <color rgb="FF27AE6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i/>
      <sz val="10"/>
      <color rgb="FF7F8C8D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2F3F4"/>
      </patternFill>
    </fill>
    <fill>
      <patternFill patternType="solid">
        <fgColor rgb="FF27AE60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2980B9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5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showGridLines="0" workbookViewId="0">
      <selection activeCell="H4" sqref="H4:I36"/>
    </sheetView>
  </sheetViews>
  <sheetFormatPr defaultRowHeight="15" x14ac:dyDescent="0.25"/>
  <cols>
    <col min="1" max="1" width="12" customWidth="1"/>
    <col min="2" max="2" width="8" customWidth="1"/>
    <col min="3" max="3" width="18" customWidth="1"/>
    <col min="4" max="4" width="20" customWidth="1"/>
    <col min="5" max="5" width="16" customWidth="1"/>
    <col min="6" max="7" width="12" customWidth="1"/>
    <col min="8" max="8" width="30" customWidth="1"/>
    <col min="9" max="9" width="40" customWidth="1"/>
    <col min="10" max="10" width="30" customWidth="1"/>
  </cols>
  <sheetData>
    <row r="1" spans="1:10" ht="39.950000000000003" customHeight="1" x14ac:dyDescent="0.25">
      <c r="A1" s="26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0.100000000000001" customHeight="1" x14ac:dyDescent="0.25">
      <c r="A2" s="27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5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A4" s="2">
        <v>101</v>
      </c>
      <c r="B4" s="2">
        <v>1</v>
      </c>
      <c r="C4" s="3" t="s">
        <v>13</v>
      </c>
      <c r="D4" s="2">
        <v>1800000</v>
      </c>
      <c r="E4" s="2" t="s">
        <v>161</v>
      </c>
      <c r="F4" s="2">
        <v>3.5</v>
      </c>
      <c r="G4" s="2">
        <v>1</v>
      </c>
      <c r="H4" s="3"/>
      <c r="I4" s="3"/>
      <c r="J4" s="3"/>
    </row>
    <row r="5" spans="1:10" x14ac:dyDescent="0.25">
      <c r="A5" s="4">
        <v>102</v>
      </c>
      <c r="B5" s="4">
        <v>1</v>
      </c>
      <c r="C5" s="5" t="s">
        <v>13</v>
      </c>
      <c r="D5" s="4">
        <v>1800000</v>
      </c>
      <c r="E5" s="4" t="s">
        <v>161</v>
      </c>
      <c r="F5" s="4">
        <v>3.5</v>
      </c>
      <c r="G5" s="4">
        <v>1</v>
      </c>
      <c r="H5" s="5"/>
      <c r="I5" s="5"/>
      <c r="J5" s="5"/>
    </row>
    <row r="6" spans="1:10" x14ac:dyDescent="0.25">
      <c r="A6" s="2">
        <v>103</v>
      </c>
      <c r="B6" s="2">
        <v>1</v>
      </c>
      <c r="C6" s="3" t="s">
        <v>13</v>
      </c>
      <c r="D6" s="2">
        <v>1800000</v>
      </c>
      <c r="E6" s="2" t="s">
        <v>161</v>
      </c>
      <c r="F6" s="2">
        <v>3.5</v>
      </c>
      <c r="G6" s="2">
        <v>2</v>
      </c>
      <c r="H6" s="3"/>
      <c r="I6" s="3"/>
      <c r="J6" s="3"/>
    </row>
    <row r="7" spans="1:10" x14ac:dyDescent="0.25">
      <c r="A7" s="4">
        <v>104</v>
      </c>
      <c r="B7" s="4">
        <v>1</v>
      </c>
      <c r="C7" s="5" t="s">
        <v>13</v>
      </c>
      <c r="D7" s="4">
        <v>1800000</v>
      </c>
      <c r="E7" s="4" t="s">
        <v>12</v>
      </c>
      <c r="F7" s="4">
        <v>3.5</v>
      </c>
      <c r="G7" s="4">
        <v>2</v>
      </c>
      <c r="H7" s="5"/>
      <c r="I7" s="5"/>
      <c r="J7" s="5"/>
    </row>
    <row r="8" spans="1:10" x14ac:dyDescent="0.25">
      <c r="A8" s="2">
        <v>105</v>
      </c>
      <c r="B8" s="2">
        <v>1</v>
      </c>
      <c r="C8" s="3" t="s">
        <v>13</v>
      </c>
      <c r="D8" s="2">
        <v>1800000</v>
      </c>
      <c r="E8" s="2" t="s">
        <v>161</v>
      </c>
      <c r="F8" s="2">
        <v>3.5</v>
      </c>
      <c r="G8" s="2">
        <v>1</v>
      </c>
      <c r="H8" s="3"/>
      <c r="I8" s="3"/>
      <c r="J8" s="3"/>
    </row>
    <row r="9" spans="1:10" x14ac:dyDescent="0.25">
      <c r="A9" s="4">
        <v>106</v>
      </c>
      <c r="B9" s="4">
        <v>1</v>
      </c>
      <c r="C9" s="5" t="s">
        <v>13</v>
      </c>
      <c r="D9" s="4">
        <v>1800000</v>
      </c>
      <c r="E9" s="4" t="s">
        <v>161</v>
      </c>
      <c r="F9" s="4">
        <v>3.5</v>
      </c>
      <c r="G9" s="4">
        <v>1</v>
      </c>
      <c r="H9" s="5"/>
      <c r="I9" s="5"/>
      <c r="J9" s="5"/>
    </row>
    <row r="10" spans="1:10" x14ac:dyDescent="0.25">
      <c r="A10" s="2" t="s">
        <v>148</v>
      </c>
      <c r="B10" s="2" t="s">
        <v>159</v>
      </c>
      <c r="C10" s="3" t="s">
        <v>13</v>
      </c>
      <c r="D10" s="2">
        <v>1800000</v>
      </c>
      <c r="E10" s="2" t="s">
        <v>161</v>
      </c>
      <c r="F10" s="2">
        <v>3.5</v>
      </c>
      <c r="G10" s="2">
        <v>1</v>
      </c>
      <c r="H10" s="3"/>
      <c r="I10" s="3"/>
      <c r="J10" s="3"/>
    </row>
    <row r="11" spans="1:10" x14ac:dyDescent="0.25">
      <c r="A11" s="4" t="s">
        <v>149</v>
      </c>
      <c r="B11" s="4" t="s">
        <v>159</v>
      </c>
      <c r="C11" s="5" t="s">
        <v>13</v>
      </c>
      <c r="D11" s="4">
        <v>1800000</v>
      </c>
      <c r="E11" s="4" t="s">
        <v>161</v>
      </c>
      <c r="F11" s="4">
        <v>3.5</v>
      </c>
      <c r="G11" s="4">
        <v>1</v>
      </c>
      <c r="H11" s="5"/>
      <c r="I11" s="5"/>
      <c r="J11" s="5"/>
    </row>
    <row r="12" spans="1:10" x14ac:dyDescent="0.25">
      <c r="A12" s="2" t="s">
        <v>150</v>
      </c>
      <c r="B12" s="2" t="s">
        <v>159</v>
      </c>
      <c r="C12" s="3" t="s">
        <v>13</v>
      </c>
      <c r="D12" s="2">
        <v>1800000</v>
      </c>
      <c r="E12" s="2" t="s">
        <v>161</v>
      </c>
      <c r="F12" s="2">
        <v>3.5</v>
      </c>
      <c r="G12" s="2">
        <v>1</v>
      </c>
      <c r="H12" s="3"/>
      <c r="I12" s="3"/>
      <c r="J12" s="3"/>
    </row>
    <row r="13" spans="1:10" x14ac:dyDescent="0.25">
      <c r="A13" s="4" t="s">
        <v>151</v>
      </c>
      <c r="B13" s="4" t="s">
        <v>159</v>
      </c>
      <c r="C13" s="5" t="s">
        <v>13</v>
      </c>
      <c r="D13" s="4">
        <v>1800000</v>
      </c>
      <c r="E13" s="4" t="s">
        <v>161</v>
      </c>
      <c r="F13" s="4">
        <v>3.5</v>
      </c>
      <c r="G13" s="4">
        <v>1</v>
      </c>
      <c r="H13" s="5"/>
      <c r="I13" s="5"/>
      <c r="J13" s="5"/>
    </row>
    <row r="14" spans="1:10" x14ac:dyDescent="0.25">
      <c r="A14" s="2" t="s">
        <v>152</v>
      </c>
      <c r="B14" s="2" t="s">
        <v>159</v>
      </c>
      <c r="C14" s="3" t="s">
        <v>13</v>
      </c>
      <c r="D14" s="2">
        <v>1800000</v>
      </c>
      <c r="E14" s="2" t="s">
        <v>161</v>
      </c>
      <c r="F14" s="2">
        <v>3.5</v>
      </c>
      <c r="G14" s="2">
        <v>1</v>
      </c>
      <c r="H14" s="3"/>
      <c r="I14" s="3"/>
      <c r="J14" s="3"/>
    </row>
    <row r="15" spans="1:10" x14ac:dyDescent="0.25">
      <c r="A15" s="4">
        <v>201</v>
      </c>
      <c r="B15" s="4">
        <v>2</v>
      </c>
      <c r="C15" s="5" t="s">
        <v>13</v>
      </c>
      <c r="D15" s="4">
        <v>1800000</v>
      </c>
      <c r="E15" s="4" t="s">
        <v>161</v>
      </c>
      <c r="F15" s="4">
        <v>3.5</v>
      </c>
      <c r="G15" s="4">
        <v>1</v>
      </c>
      <c r="H15" s="5"/>
      <c r="I15" s="5"/>
      <c r="J15" s="5"/>
    </row>
    <row r="16" spans="1:10" x14ac:dyDescent="0.25">
      <c r="A16" s="2">
        <v>202</v>
      </c>
      <c r="B16" s="2">
        <v>2</v>
      </c>
      <c r="C16" s="3" t="s">
        <v>13</v>
      </c>
      <c r="D16" s="2">
        <v>1800000</v>
      </c>
      <c r="E16" s="2" t="s">
        <v>161</v>
      </c>
      <c r="F16" s="2">
        <v>3.5</v>
      </c>
      <c r="G16" s="2">
        <v>1</v>
      </c>
      <c r="H16" s="3"/>
      <c r="I16" s="3"/>
      <c r="J16" s="3"/>
    </row>
    <row r="17" spans="1:10" x14ac:dyDescent="0.25">
      <c r="A17" s="4">
        <v>203</v>
      </c>
      <c r="B17" s="4">
        <v>2</v>
      </c>
      <c r="C17" s="5" t="s">
        <v>13</v>
      </c>
      <c r="D17" s="4">
        <v>1800000</v>
      </c>
      <c r="E17" s="4" t="s">
        <v>161</v>
      </c>
      <c r="F17" s="4">
        <v>3.5</v>
      </c>
      <c r="G17" s="4">
        <v>2</v>
      </c>
      <c r="H17" s="5"/>
      <c r="I17" s="5"/>
      <c r="J17" s="5"/>
    </row>
    <row r="18" spans="1:10" x14ac:dyDescent="0.25">
      <c r="A18" s="2">
        <v>204</v>
      </c>
      <c r="B18" s="2">
        <v>2</v>
      </c>
      <c r="C18" s="3" t="s">
        <v>13</v>
      </c>
      <c r="D18" s="2">
        <v>1800000</v>
      </c>
      <c r="E18" s="2" t="s">
        <v>161</v>
      </c>
      <c r="F18" s="2">
        <v>3.5</v>
      </c>
      <c r="G18" s="2">
        <v>2</v>
      </c>
      <c r="H18" s="3"/>
      <c r="I18" s="3"/>
      <c r="J18" s="3"/>
    </row>
    <row r="19" spans="1:10" x14ac:dyDescent="0.25">
      <c r="A19" s="4">
        <v>205</v>
      </c>
      <c r="B19" s="4">
        <v>2</v>
      </c>
      <c r="C19" s="5" t="s">
        <v>13</v>
      </c>
      <c r="D19" s="4">
        <v>1800000</v>
      </c>
      <c r="E19" s="4" t="s">
        <v>161</v>
      </c>
      <c r="F19" s="4">
        <v>3.5</v>
      </c>
      <c r="G19" s="4">
        <v>1</v>
      </c>
      <c r="H19" s="5"/>
      <c r="I19" s="5"/>
      <c r="J19" s="5"/>
    </row>
    <row r="20" spans="1:10" x14ac:dyDescent="0.25">
      <c r="A20" s="2">
        <v>206</v>
      </c>
      <c r="B20" s="2">
        <v>2</v>
      </c>
      <c r="C20" s="3" t="s">
        <v>13</v>
      </c>
      <c r="D20" s="2">
        <v>1800000</v>
      </c>
      <c r="E20" s="2" t="s">
        <v>161</v>
      </c>
      <c r="F20" s="2">
        <v>3.5</v>
      </c>
      <c r="G20" s="2">
        <v>1</v>
      </c>
      <c r="H20" s="3"/>
      <c r="I20" s="3"/>
      <c r="J20" s="3"/>
    </row>
    <row r="21" spans="1:10" x14ac:dyDescent="0.25">
      <c r="A21" s="4" t="s">
        <v>153</v>
      </c>
      <c r="B21" s="4" t="s">
        <v>160</v>
      </c>
      <c r="C21" s="5" t="s">
        <v>13</v>
      </c>
      <c r="D21" s="4">
        <v>1800000</v>
      </c>
      <c r="E21" s="4" t="s">
        <v>161</v>
      </c>
      <c r="F21" s="4">
        <v>3.5</v>
      </c>
      <c r="G21" s="4">
        <v>1</v>
      </c>
      <c r="H21" s="5"/>
      <c r="I21" s="5"/>
      <c r="J21" s="5"/>
    </row>
    <row r="22" spans="1:10" x14ac:dyDescent="0.25">
      <c r="A22" s="2" t="s">
        <v>154</v>
      </c>
      <c r="B22" s="2" t="s">
        <v>160</v>
      </c>
      <c r="C22" s="3" t="s">
        <v>13</v>
      </c>
      <c r="D22" s="2">
        <v>1800000</v>
      </c>
      <c r="E22" s="2" t="s">
        <v>161</v>
      </c>
      <c r="F22" s="2">
        <v>3.5</v>
      </c>
      <c r="G22" s="2">
        <v>1</v>
      </c>
      <c r="H22" s="3"/>
      <c r="I22" s="3"/>
      <c r="J22" s="3"/>
    </row>
    <row r="23" spans="1:10" x14ac:dyDescent="0.25">
      <c r="A23" s="4" t="s">
        <v>155</v>
      </c>
      <c r="B23" s="4" t="s">
        <v>160</v>
      </c>
      <c r="C23" s="5" t="s">
        <v>13</v>
      </c>
      <c r="D23" s="4">
        <v>1800000</v>
      </c>
      <c r="E23" s="4" t="s">
        <v>161</v>
      </c>
      <c r="F23" s="4">
        <v>3.5</v>
      </c>
      <c r="G23" s="4">
        <v>1</v>
      </c>
      <c r="H23" s="5"/>
      <c r="I23" s="5"/>
      <c r="J23" s="5"/>
    </row>
    <row r="24" spans="1:10" x14ac:dyDescent="0.25">
      <c r="A24" s="2" t="s">
        <v>156</v>
      </c>
      <c r="B24" s="2" t="s">
        <v>160</v>
      </c>
      <c r="C24" s="3" t="s">
        <v>13</v>
      </c>
      <c r="D24" s="2">
        <v>1800000</v>
      </c>
      <c r="E24" s="2" t="s">
        <v>161</v>
      </c>
      <c r="F24" s="2">
        <v>3.5</v>
      </c>
      <c r="G24" s="2">
        <v>1</v>
      </c>
      <c r="H24" s="3"/>
      <c r="I24" s="3"/>
      <c r="J24" s="3"/>
    </row>
    <row r="25" spans="1:10" x14ac:dyDescent="0.25">
      <c r="A25" s="4" t="s">
        <v>157</v>
      </c>
      <c r="B25" s="4" t="s">
        <v>160</v>
      </c>
      <c r="C25" s="5" t="s">
        <v>13</v>
      </c>
      <c r="D25" s="4">
        <v>1800000</v>
      </c>
      <c r="E25" s="4" t="s">
        <v>161</v>
      </c>
      <c r="F25" s="4">
        <v>3.5</v>
      </c>
      <c r="G25" s="4">
        <v>1</v>
      </c>
      <c r="H25" s="5"/>
      <c r="I25" s="5"/>
      <c r="J25" s="5"/>
    </row>
    <row r="26" spans="1:10" x14ac:dyDescent="0.25">
      <c r="A26" s="2">
        <v>301</v>
      </c>
      <c r="B26" s="2">
        <v>3</v>
      </c>
      <c r="C26" s="3" t="s">
        <v>13</v>
      </c>
      <c r="D26" s="2">
        <v>1800000</v>
      </c>
      <c r="E26" s="2" t="s">
        <v>161</v>
      </c>
      <c r="F26" s="2">
        <v>3.5</v>
      </c>
      <c r="G26" s="2">
        <v>1</v>
      </c>
      <c r="H26" s="3"/>
      <c r="I26" s="3"/>
      <c r="J26" s="3"/>
    </row>
    <row r="27" spans="1:10" x14ac:dyDescent="0.25">
      <c r="A27" s="4">
        <v>302</v>
      </c>
      <c r="B27" s="4">
        <v>3</v>
      </c>
      <c r="C27" s="5" t="s">
        <v>13</v>
      </c>
      <c r="D27" s="4">
        <v>1800000</v>
      </c>
      <c r="E27" s="4" t="s">
        <v>161</v>
      </c>
      <c r="F27" s="4">
        <v>3.5</v>
      </c>
      <c r="G27" s="4">
        <v>1</v>
      </c>
      <c r="H27" s="5"/>
      <c r="I27" s="5"/>
      <c r="J27" s="5"/>
    </row>
    <row r="28" spans="1:10" x14ac:dyDescent="0.25">
      <c r="A28" s="2">
        <v>303</v>
      </c>
      <c r="B28" s="2">
        <v>3</v>
      </c>
      <c r="C28" s="3" t="s">
        <v>13</v>
      </c>
      <c r="D28" s="2">
        <v>1800000</v>
      </c>
      <c r="E28" s="2" t="s">
        <v>161</v>
      </c>
      <c r="F28" s="2">
        <v>3.5</v>
      </c>
      <c r="G28" s="2">
        <v>2</v>
      </c>
      <c r="H28" s="3"/>
      <c r="I28" s="3"/>
      <c r="J28" s="3"/>
    </row>
    <row r="29" spans="1:10" x14ac:dyDescent="0.25">
      <c r="A29" s="4">
        <v>304</v>
      </c>
      <c r="B29" s="4">
        <v>3</v>
      </c>
      <c r="C29" s="5" t="s">
        <v>13</v>
      </c>
      <c r="D29" s="4">
        <v>1800000</v>
      </c>
      <c r="E29" s="4" t="s">
        <v>161</v>
      </c>
      <c r="F29" s="4">
        <v>3.5</v>
      </c>
      <c r="G29" s="4">
        <v>2</v>
      </c>
      <c r="H29" s="5"/>
      <c r="I29" s="5"/>
      <c r="J29" s="5"/>
    </row>
    <row r="30" spans="1:10" x14ac:dyDescent="0.25">
      <c r="A30" s="2">
        <v>305</v>
      </c>
      <c r="B30" s="2">
        <v>3</v>
      </c>
      <c r="C30" s="3" t="s">
        <v>13</v>
      </c>
      <c r="D30" s="2">
        <v>1800000</v>
      </c>
      <c r="E30" s="2" t="s">
        <v>161</v>
      </c>
      <c r="F30" s="2">
        <v>3.5</v>
      </c>
      <c r="G30" s="2">
        <v>1</v>
      </c>
      <c r="H30" s="3"/>
      <c r="I30" s="3"/>
      <c r="J30" s="3"/>
    </row>
    <row r="31" spans="1:10" x14ac:dyDescent="0.25">
      <c r="A31" s="4">
        <v>306</v>
      </c>
      <c r="B31" s="4">
        <v>3</v>
      </c>
      <c r="C31" s="5" t="s">
        <v>13</v>
      </c>
      <c r="D31" s="4">
        <v>1800000</v>
      </c>
      <c r="E31" s="4" t="s">
        <v>161</v>
      </c>
      <c r="F31" s="4">
        <v>3.5</v>
      </c>
      <c r="G31" s="4">
        <v>1</v>
      </c>
      <c r="H31" s="5"/>
      <c r="I31" s="5"/>
      <c r="J31" s="5"/>
    </row>
    <row r="32" spans="1:10" x14ac:dyDescent="0.25">
      <c r="A32" s="2">
        <v>401</v>
      </c>
      <c r="B32" s="2">
        <v>3</v>
      </c>
      <c r="C32" s="3" t="s">
        <v>13</v>
      </c>
      <c r="D32" s="2">
        <v>1800000</v>
      </c>
      <c r="E32" s="2" t="s">
        <v>161</v>
      </c>
      <c r="F32" s="2">
        <v>3.5</v>
      </c>
      <c r="G32" s="2">
        <v>1</v>
      </c>
      <c r="H32" s="3"/>
      <c r="I32" s="3"/>
      <c r="J32" s="3"/>
    </row>
    <row r="33" spans="1:10" x14ac:dyDescent="0.25">
      <c r="A33" s="4">
        <v>402</v>
      </c>
      <c r="B33" s="4">
        <v>3</v>
      </c>
      <c r="C33" s="5" t="s">
        <v>13</v>
      </c>
      <c r="D33" s="4">
        <v>1800000</v>
      </c>
      <c r="E33" s="4" t="s">
        <v>161</v>
      </c>
      <c r="F33" s="4">
        <v>3.5</v>
      </c>
      <c r="G33" s="4">
        <v>1</v>
      </c>
      <c r="H33" s="5"/>
      <c r="I33" s="5"/>
      <c r="J33" s="5"/>
    </row>
    <row r="34" spans="1:10" x14ac:dyDescent="0.25">
      <c r="A34" s="2">
        <v>403</v>
      </c>
      <c r="B34" s="2">
        <v>3</v>
      </c>
      <c r="C34" s="3" t="s">
        <v>13</v>
      </c>
      <c r="D34" s="2">
        <v>1800000</v>
      </c>
      <c r="E34" s="2" t="s">
        <v>161</v>
      </c>
      <c r="F34" s="2">
        <v>3.5</v>
      </c>
      <c r="G34" s="2">
        <v>2</v>
      </c>
      <c r="H34" s="3"/>
      <c r="I34" s="3"/>
      <c r="J34" s="3"/>
    </row>
    <row r="35" spans="1:10" x14ac:dyDescent="0.25">
      <c r="A35" s="4" t="s">
        <v>158</v>
      </c>
      <c r="B35" s="4">
        <v>3</v>
      </c>
      <c r="C35" s="5" t="s">
        <v>13</v>
      </c>
      <c r="D35" s="4">
        <v>1800000</v>
      </c>
      <c r="E35" s="4" t="s">
        <v>161</v>
      </c>
      <c r="F35" s="4">
        <v>3.5</v>
      </c>
      <c r="G35" s="4">
        <v>2</v>
      </c>
      <c r="H35" s="5"/>
      <c r="I35" s="5"/>
      <c r="J35" s="5"/>
    </row>
    <row r="36" spans="1:10" ht="21.95" customHeight="1" x14ac:dyDescent="0.25">
      <c r="A36" s="2">
        <v>406</v>
      </c>
      <c r="B36" s="2">
        <v>3</v>
      </c>
      <c r="C36" s="3" t="s">
        <v>13</v>
      </c>
      <c r="D36" s="2">
        <v>1800000</v>
      </c>
      <c r="E36" s="2" t="s">
        <v>161</v>
      </c>
      <c r="F36" s="2">
        <v>3.5</v>
      </c>
      <c r="G36" s="2">
        <v>1</v>
      </c>
      <c r="H36" s="3"/>
      <c r="I36" s="3"/>
      <c r="J36" s="3"/>
    </row>
    <row r="39" spans="1:10" x14ac:dyDescent="0.25">
      <c r="A39" s="25" t="s">
        <v>14</v>
      </c>
      <c r="B39" s="23"/>
      <c r="C39" s="23"/>
      <c r="D39" s="23"/>
      <c r="E39" s="23"/>
      <c r="F39" s="23"/>
      <c r="G39" s="23"/>
      <c r="H39" s="23"/>
      <c r="I39" s="23"/>
      <c r="J39" s="23"/>
    </row>
  </sheetData>
  <mergeCells count="3">
    <mergeCell ref="A39:J39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sqref="A1:F1"/>
    </sheetView>
  </sheetViews>
  <sheetFormatPr defaultRowHeight="15" x14ac:dyDescent="0.25"/>
  <cols>
    <col min="1" max="1" width="25" customWidth="1"/>
    <col min="2" max="2" width="20" customWidth="1"/>
    <col min="3" max="3" width="28" customWidth="1"/>
    <col min="4" max="4" width="10" customWidth="1"/>
    <col min="5" max="5" width="22" customWidth="1"/>
    <col min="6" max="6" width="35" customWidth="1"/>
  </cols>
  <sheetData>
    <row r="1" spans="1:6" ht="38.1" customHeight="1" x14ac:dyDescent="0.25">
      <c r="A1" s="24" t="s">
        <v>15</v>
      </c>
      <c r="B1" s="23"/>
      <c r="C1" s="23"/>
      <c r="D1" s="23"/>
      <c r="E1" s="23"/>
      <c r="F1" s="23"/>
    </row>
    <row r="2" spans="1:6" ht="18" customHeight="1" x14ac:dyDescent="0.25">
      <c r="A2" s="27" t="s">
        <v>16</v>
      </c>
      <c r="B2" s="23"/>
      <c r="C2" s="23"/>
      <c r="D2" s="23"/>
      <c r="E2" s="23"/>
      <c r="F2" s="23"/>
    </row>
    <row r="3" spans="1:6" ht="35.1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</row>
    <row r="4" spans="1:6" x14ac:dyDescent="0.25">
      <c r="A4" s="3" t="s">
        <v>23</v>
      </c>
      <c r="B4" s="3" t="s">
        <v>24</v>
      </c>
      <c r="C4" s="7" t="s">
        <v>25</v>
      </c>
      <c r="D4" s="2">
        <v>1</v>
      </c>
      <c r="E4" s="3" t="s">
        <v>26</v>
      </c>
      <c r="F4" s="3" t="s">
        <v>27</v>
      </c>
    </row>
    <row r="5" spans="1:6" x14ac:dyDescent="0.25">
      <c r="A5" s="8" t="s">
        <v>28</v>
      </c>
      <c r="B5" s="8" t="s">
        <v>29</v>
      </c>
      <c r="C5" s="9" t="s">
        <v>25</v>
      </c>
      <c r="D5" s="10">
        <v>33</v>
      </c>
      <c r="E5" s="8" t="s">
        <v>30</v>
      </c>
      <c r="F5" s="8" t="s">
        <v>31</v>
      </c>
    </row>
    <row r="6" spans="1:6" x14ac:dyDescent="0.25">
      <c r="A6" s="3" t="s">
        <v>32</v>
      </c>
      <c r="B6" s="3" t="s">
        <v>29</v>
      </c>
      <c r="C6" s="7" t="s">
        <v>25</v>
      </c>
      <c r="D6" s="2">
        <v>3</v>
      </c>
      <c r="E6" s="3" t="s">
        <v>33</v>
      </c>
      <c r="F6" s="3" t="s">
        <v>34</v>
      </c>
    </row>
    <row r="7" spans="1:6" x14ac:dyDescent="0.25">
      <c r="A7" s="8" t="s">
        <v>35</v>
      </c>
      <c r="B7" s="8" t="s">
        <v>36</v>
      </c>
      <c r="C7" s="9" t="s">
        <v>25</v>
      </c>
      <c r="D7" s="10">
        <v>1</v>
      </c>
      <c r="E7" s="8" t="s">
        <v>37</v>
      </c>
      <c r="F7" s="8" t="s">
        <v>38</v>
      </c>
    </row>
    <row r="8" spans="1:6" x14ac:dyDescent="0.25">
      <c r="A8" s="3" t="s">
        <v>39</v>
      </c>
      <c r="B8" s="3" t="s">
        <v>36</v>
      </c>
      <c r="C8" s="7" t="s">
        <v>25</v>
      </c>
      <c r="D8" s="2">
        <v>1</v>
      </c>
      <c r="E8" s="3" t="s">
        <v>40</v>
      </c>
      <c r="F8" s="3" t="s">
        <v>41</v>
      </c>
    </row>
    <row r="9" spans="1:6" x14ac:dyDescent="0.25">
      <c r="A9" s="8" t="s">
        <v>42</v>
      </c>
      <c r="B9" s="8" t="s">
        <v>43</v>
      </c>
      <c r="C9" s="9" t="s">
        <v>25</v>
      </c>
      <c r="D9" s="10">
        <v>2</v>
      </c>
      <c r="E9" s="8" t="s">
        <v>37</v>
      </c>
      <c r="F9" s="8" t="s">
        <v>44</v>
      </c>
    </row>
    <row r="10" spans="1:6" x14ac:dyDescent="0.25">
      <c r="A10" s="3" t="s">
        <v>45</v>
      </c>
      <c r="B10" s="3" t="s">
        <v>46</v>
      </c>
      <c r="C10" s="7" t="s">
        <v>25</v>
      </c>
      <c r="D10" s="2">
        <v>4</v>
      </c>
      <c r="E10" s="3" t="s">
        <v>47</v>
      </c>
      <c r="F10" s="3" t="s">
        <v>48</v>
      </c>
    </row>
    <row r="11" spans="1:6" x14ac:dyDescent="0.25">
      <c r="A11" s="8" t="s">
        <v>49</v>
      </c>
      <c r="B11" s="8" t="s">
        <v>43</v>
      </c>
      <c r="C11" s="9" t="s">
        <v>25</v>
      </c>
      <c r="D11" s="10">
        <v>1</v>
      </c>
      <c r="E11" s="8" t="s">
        <v>50</v>
      </c>
      <c r="F11" s="8"/>
    </row>
    <row r="12" spans="1:6" x14ac:dyDescent="0.25">
      <c r="A12" s="3" t="s">
        <v>51</v>
      </c>
      <c r="B12" s="3" t="s">
        <v>52</v>
      </c>
      <c r="C12" s="7" t="s">
        <v>25</v>
      </c>
      <c r="D12" s="2">
        <v>6</v>
      </c>
      <c r="E12" s="3" t="s">
        <v>53</v>
      </c>
      <c r="F12" s="3" t="s">
        <v>54</v>
      </c>
    </row>
    <row r="13" spans="1:6" x14ac:dyDescent="0.25">
      <c r="A13" s="8" t="s">
        <v>55</v>
      </c>
      <c r="B13" s="8" t="s">
        <v>52</v>
      </c>
      <c r="C13" s="9" t="s">
        <v>25</v>
      </c>
      <c r="D13" s="10">
        <v>1</v>
      </c>
      <c r="E13" s="8" t="s">
        <v>56</v>
      </c>
      <c r="F13" s="8" t="s">
        <v>57</v>
      </c>
    </row>
    <row r="14" spans="1:6" x14ac:dyDescent="0.25">
      <c r="A14" s="3" t="s">
        <v>58</v>
      </c>
      <c r="B14" s="3" t="s">
        <v>59</v>
      </c>
      <c r="C14" s="7" t="s">
        <v>25</v>
      </c>
      <c r="D14" s="2">
        <v>1</v>
      </c>
      <c r="E14" s="3" t="s">
        <v>37</v>
      </c>
      <c r="F14" s="3" t="s">
        <v>60</v>
      </c>
    </row>
    <row r="15" spans="1:6" x14ac:dyDescent="0.25">
      <c r="A15" s="8" t="s">
        <v>61</v>
      </c>
      <c r="B15" s="8" t="s">
        <v>62</v>
      </c>
      <c r="C15" s="9" t="s">
        <v>25</v>
      </c>
      <c r="D15" s="10">
        <v>1</v>
      </c>
      <c r="E15" s="8" t="s">
        <v>63</v>
      </c>
      <c r="F15" s="8" t="s">
        <v>64</v>
      </c>
    </row>
    <row r="16" spans="1:6" x14ac:dyDescent="0.25">
      <c r="A16" s="3" t="s">
        <v>65</v>
      </c>
      <c r="B16" s="3" t="s">
        <v>46</v>
      </c>
      <c r="C16" s="7" t="s">
        <v>25</v>
      </c>
      <c r="D16" s="2">
        <v>6</v>
      </c>
      <c r="E16" s="3" t="s">
        <v>66</v>
      </c>
      <c r="F16" s="3" t="s">
        <v>67</v>
      </c>
    </row>
    <row r="17" spans="1:6" x14ac:dyDescent="0.25">
      <c r="A17" s="8" t="s">
        <v>68</v>
      </c>
      <c r="B17" s="8" t="s">
        <v>36</v>
      </c>
      <c r="C17" s="9" t="s">
        <v>25</v>
      </c>
      <c r="D17" s="10">
        <v>3</v>
      </c>
      <c r="E17" s="8" t="s">
        <v>66</v>
      </c>
      <c r="F17" s="8" t="s">
        <v>69</v>
      </c>
    </row>
    <row r="18" spans="1:6" x14ac:dyDescent="0.25">
      <c r="A18" s="3" t="s">
        <v>70</v>
      </c>
      <c r="B18" s="3" t="s">
        <v>71</v>
      </c>
      <c r="C18" s="7" t="s">
        <v>25</v>
      </c>
      <c r="D18" s="2">
        <v>33</v>
      </c>
      <c r="E18" s="3" t="s">
        <v>72</v>
      </c>
      <c r="F18" s="3" t="s">
        <v>73</v>
      </c>
    </row>
    <row r="21" spans="1:6" x14ac:dyDescent="0.25">
      <c r="A21" s="25" t="s">
        <v>74</v>
      </c>
      <c r="B21" s="23"/>
      <c r="C21" s="23"/>
      <c r="D21" s="23"/>
      <c r="E21" s="23"/>
      <c r="F21" s="23"/>
    </row>
  </sheetData>
  <mergeCells count="3">
    <mergeCell ref="A2:F2"/>
    <mergeCell ref="A21:F2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topLeftCell="D1" workbookViewId="0">
      <selection activeCell="J12" sqref="J12"/>
    </sheetView>
  </sheetViews>
  <sheetFormatPr defaultRowHeight="15" x14ac:dyDescent="0.25"/>
  <cols>
    <col min="1" max="1" width="20" customWidth="1"/>
    <col min="2" max="5" width="22" customWidth="1"/>
    <col min="6" max="6" width="18" customWidth="1"/>
    <col min="7" max="7" width="35" customWidth="1"/>
  </cols>
  <sheetData>
    <row r="1" spans="1:7" ht="38.1" customHeight="1" x14ac:dyDescent="0.25">
      <c r="A1" s="24" t="s">
        <v>75</v>
      </c>
      <c r="B1" s="23"/>
      <c r="C1" s="23"/>
      <c r="D1" s="23"/>
      <c r="E1" s="23"/>
      <c r="F1" s="23"/>
      <c r="G1" s="23"/>
    </row>
    <row r="2" spans="1:7" ht="30" customHeight="1" x14ac:dyDescent="0.25">
      <c r="A2" s="11" t="s">
        <v>4</v>
      </c>
      <c r="B2" s="11" t="s">
        <v>76</v>
      </c>
      <c r="C2" s="11" t="s">
        <v>77</v>
      </c>
      <c r="D2" s="11" t="s">
        <v>78</v>
      </c>
      <c r="E2" s="11" t="s">
        <v>79</v>
      </c>
      <c r="F2" s="11" t="s">
        <v>80</v>
      </c>
      <c r="G2" s="11" t="s">
        <v>81</v>
      </c>
    </row>
    <row r="3" spans="1:7" x14ac:dyDescent="0.25">
      <c r="A3" s="2" t="s">
        <v>162</v>
      </c>
      <c r="B3" s="15">
        <v>1800000</v>
      </c>
      <c r="C3" s="15">
        <f>B3*3</f>
        <v>5400000</v>
      </c>
      <c r="D3" s="15">
        <f>B3*6</f>
        <v>10800000</v>
      </c>
      <c r="E3" s="15">
        <f>B3*12</f>
        <v>21600000</v>
      </c>
      <c r="F3" s="15">
        <v>400000</v>
      </c>
      <c r="G3" s="3" t="s">
        <v>82</v>
      </c>
    </row>
    <row r="4" spans="1:7" x14ac:dyDescent="0.25">
      <c r="A4" s="12" t="s">
        <v>163</v>
      </c>
      <c r="B4" s="13">
        <v>2000000</v>
      </c>
      <c r="C4" s="13">
        <f>B4*3</f>
        <v>6000000</v>
      </c>
      <c r="D4" s="13">
        <f>B4*6</f>
        <v>12000000</v>
      </c>
      <c r="E4" s="13">
        <f>B4*12</f>
        <v>24000000</v>
      </c>
      <c r="F4" s="13">
        <v>400000</v>
      </c>
      <c r="G4" s="14" t="s">
        <v>164</v>
      </c>
    </row>
    <row r="7" spans="1:7" ht="27.95" customHeight="1" x14ac:dyDescent="0.25">
      <c r="A7" s="22" t="s">
        <v>83</v>
      </c>
      <c r="B7" s="23"/>
      <c r="C7" s="23"/>
      <c r="D7" s="23"/>
      <c r="E7" s="23"/>
      <c r="F7" s="23"/>
      <c r="G7" s="23"/>
    </row>
    <row r="8" spans="1:7" x14ac:dyDescent="0.25">
      <c r="A8" s="14" t="s">
        <v>84</v>
      </c>
      <c r="B8" s="14" t="s">
        <v>85</v>
      </c>
      <c r="C8" s="14" t="s">
        <v>86</v>
      </c>
      <c r="D8" s="14" t="s">
        <v>87</v>
      </c>
      <c r="E8" s="14"/>
      <c r="F8" s="14"/>
      <c r="G8" s="14" t="s">
        <v>88</v>
      </c>
    </row>
    <row r="9" spans="1:7" x14ac:dyDescent="0.25">
      <c r="A9" s="3" t="s">
        <v>89</v>
      </c>
      <c r="B9" s="3" t="s">
        <v>90</v>
      </c>
      <c r="C9" s="3" t="s">
        <v>86</v>
      </c>
      <c r="D9" s="3" t="s">
        <v>91</v>
      </c>
      <c r="E9" s="3"/>
      <c r="F9" s="3"/>
      <c r="G9" s="3" t="s">
        <v>92</v>
      </c>
    </row>
    <row r="10" spans="1:7" x14ac:dyDescent="0.25">
      <c r="A10" s="14" t="s">
        <v>93</v>
      </c>
      <c r="B10" s="14" t="s">
        <v>90</v>
      </c>
      <c r="C10" s="14" t="s">
        <v>86</v>
      </c>
      <c r="D10" s="14" t="s">
        <v>91</v>
      </c>
      <c r="E10" s="14"/>
      <c r="F10" s="14"/>
      <c r="G10" s="14" t="s">
        <v>92</v>
      </c>
    </row>
    <row r="11" spans="1:7" x14ac:dyDescent="0.25">
      <c r="A11" s="3" t="s">
        <v>43</v>
      </c>
      <c r="B11" s="3" t="s">
        <v>165</v>
      </c>
      <c r="C11" s="3" t="s">
        <v>94</v>
      </c>
      <c r="D11" s="3" t="s">
        <v>165</v>
      </c>
      <c r="E11" s="3"/>
      <c r="F11" s="3"/>
      <c r="G11" s="3" t="s">
        <v>165</v>
      </c>
    </row>
    <row r="12" spans="1:7" x14ac:dyDescent="0.25">
      <c r="A12" s="14" t="s">
        <v>166</v>
      </c>
      <c r="B12" s="14" t="s">
        <v>90</v>
      </c>
      <c r="C12" s="14" t="s">
        <v>86</v>
      </c>
      <c r="D12" s="14" t="s">
        <v>91</v>
      </c>
      <c r="E12" s="14"/>
      <c r="F12" s="14"/>
      <c r="G12" s="14" t="s">
        <v>92</v>
      </c>
    </row>
    <row r="13" spans="1:7" x14ac:dyDescent="0.25">
      <c r="A13" s="3" t="s">
        <v>95</v>
      </c>
      <c r="B13" s="3" t="s">
        <v>96</v>
      </c>
      <c r="C13" s="3" t="s">
        <v>97</v>
      </c>
      <c r="D13" s="3" t="s">
        <v>98</v>
      </c>
      <c r="E13" s="3"/>
      <c r="F13" s="3"/>
      <c r="G13" s="3" t="s">
        <v>99</v>
      </c>
    </row>
  </sheetData>
  <mergeCells count="2">
    <mergeCell ref="A7:G7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showGridLines="0" tabSelected="1" workbookViewId="0">
      <selection activeCell="C11" sqref="C11"/>
    </sheetView>
  </sheetViews>
  <sheetFormatPr defaultRowHeight="15" x14ac:dyDescent="0.25"/>
  <cols>
    <col min="1" max="1" width="28" customWidth="1"/>
    <col min="2" max="2" width="40" customWidth="1"/>
    <col min="3" max="3" width="35" customWidth="1"/>
  </cols>
  <sheetData>
    <row r="1" spans="1:3" ht="38.1" customHeight="1" x14ac:dyDescent="0.25">
      <c r="A1" s="24" t="s">
        <v>100</v>
      </c>
      <c r="B1" s="23"/>
      <c r="C1" s="23"/>
    </row>
    <row r="2" spans="1:3" x14ac:dyDescent="0.25">
      <c r="A2" s="16" t="s">
        <v>81</v>
      </c>
      <c r="B2" s="16" t="s">
        <v>101</v>
      </c>
      <c r="C2" s="16" t="s">
        <v>102</v>
      </c>
    </row>
    <row r="3" spans="1:3" x14ac:dyDescent="0.25">
      <c r="A3" s="17" t="s">
        <v>103</v>
      </c>
      <c r="B3" s="18" t="s">
        <v>104</v>
      </c>
      <c r="C3" s="19" t="s">
        <v>167</v>
      </c>
    </row>
    <row r="4" spans="1:3" x14ac:dyDescent="0.25">
      <c r="A4" s="20" t="s">
        <v>105</v>
      </c>
      <c r="B4" s="3" t="s">
        <v>169</v>
      </c>
      <c r="C4" s="21" t="s">
        <v>168</v>
      </c>
    </row>
    <row r="5" spans="1:3" x14ac:dyDescent="0.25">
      <c r="A5" s="17" t="s">
        <v>106</v>
      </c>
      <c r="B5" s="18" t="s">
        <v>107</v>
      </c>
      <c r="C5" s="19"/>
    </row>
    <row r="6" spans="1:3" x14ac:dyDescent="0.25">
      <c r="A6" s="20" t="s">
        <v>108</v>
      </c>
      <c r="B6" s="3" t="s">
        <v>109</v>
      </c>
      <c r="C6" s="21" t="s">
        <v>170</v>
      </c>
    </row>
    <row r="7" spans="1:3" x14ac:dyDescent="0.25">
      <c r="A7" s="17" t="s">
        <v>110</v>
      </c>
      <c r="B7" s="18" t="s">
        <v>111</v>
      </c>
      <c r="C7" s="19" t="s">
        <v>171</v>
      </c>
    </row>
    <row r="8" spans="1:3" x14ac:dyDescent="0.25">
      <c r="A8" s="20" t="s">
        <v>112</v>
      </c>
      <c r="B8" s="3" t="s">
        <v>113</v>
      </c>
      <c r="C8" s="21" t="s">
        <v>172</v>
      </c>
    </row>
    <row r="9" spans="1:3" x14ac:dyDescent="0.25">
      <c r="A9" s="17" t="s">
        <v>114</v>
      </c>
      <c r="B9" s="18" t="s">
        <v>115</v>
      </c>
      <c r="C9" s="19"/>
    </row>
    <row r="10" spans="1:3" x14ac:dyDescent="0.25">
      <c r="A10" s="20" t="s">
        <v>116</v>
      </c>
      <c r="B10" s="3" t="s">
        <v>117</v>
      </c>
      <c r="C10" s="28" t="s">
        <v>117</v>
      </c>
    </row>
    <row r="11" spans="1:3" x14ac:dyDescent="0.25">
      <c r="A11" s="17" t="s">
        <v>118</v>
      </c>
      <c r="B11" s="18" t="s">
        <v>119</v>
      </c>
      <c r="C11" s="19"/>
    </row>
    <row r="12" spans="1:3" x14ac:dyDescent="0.25">
      <c r="A12" s="20" t="s">
        <v>120</v>
      </c>
      <c r="B12" s="3" t="s">
        <v>121</v>
      </c>
      <c r="C12" s="21" t="s">
        <v>122</v>
      </c>
    </row>
    <row r="13" spans="1:3" x14ac:dyDescent="0.25">
      <c r="A13" s="17" t="s">
        <v>123</v>
      </c>
      <c r="B13" s="18" t="s">
        <v>124</v>
      </c>
      <c r="C13" s="19" t="s">
        <v>125</v>
      </c>
    </row>
    <row r="14" spans="1:3" x14ac:dyDescent="0.25">
      <c r="A14" s="20" t="s">
        <v>126</v>
      </c>
      <c r="B14" s="3">
        <v>33</v>
      </c>
      <c r="C14" s="21" t="s">
        <v>127</v>
      </c>
    </row>
    <row r="15" spans="1:3" x14ac:dyDescent="0.25">
      <c r="A15" s="17" t="s">
        <v>128</v>
      </c>
      <c r="B15" s="18" t="s">
        <v>129</v>
      </c>
      <c r="C15" s="19" t="s">
        <v>130</v>
      </c>
    </row>
    <row r="16" spans="1:3" x14ac:dyDescent="0.25">
      <c r="A16" s="20" t="s">
        <v>131</v>
      </c>
      <c r="B16" s="3" t="s">
        <v>132</v>
      </c>
      <c r="C16" s="21"/>
    </row>
    <row r="17" spans="1:3" x14ac:dyDescent="0.25">
      <c r="A17" s="17" t="s">
        <v>133</v>
      </c>
      <c r="B17" s="18" t="s">
        <v>134</v>
      </c>
      <c r="C17" s="19"/>
    </row>
    <row r="18" spans="1:3" x14ac:dyDescent="0.25">
      <c r="A18" s="20" t="s">
        <v>135</v>
      </c>
      <c r="B18" s="3" t="s">
        <v>136</v>
      </c>
      <c r="C18" s="21"/>
    </row>
    <row r="19" spans="1:3" x14ac:dyDescent="0.25">
      <c r="A19" s="17" t="s">
        <v>137</v>
      </c>
      <c r="B19" s="18" t="s">
        <v>138</v>
      </c>
      <c r="C19" s="19"/>
    </row>
    <row r="20" spans="1:3" x14ac:dyDescent="0.25">
      <c r="A20" s="20" t="s">
        <v>139</v>
      </c>
      <c r="B20" s="3" t="s">
        <v>140</v>
      </c>
      <c r="C20" s="21" t="s">
        <v>141</v>
      </c>
    </row>
    <row r="21" spans="1:3" x14ac:dyDescent="0.25">
      <c r="A21" s="17" t="s">
        <v>142</v>
      </c>
      <c r="B21" s="18" t="s">
        <v>143</v>
      </c>
      <c r="C21" s="19" t="s">
        <v>144</v>
      </c>
    </row>
    <row r="22" spans="1:3" x14ac:dyDescent="0.25">
      <c r="A22" s="20" t="s">
        <v>145</v>
      </c>
      <c r="B22" s="3" t="s">
        <v>146</v>
      </c>
      <c r="C22" s="21" t="s">
        <v>147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 Kamar</vt:lpstr>
      <vt:lpstr>Fasilitas Umum</vt:lpstr>
      <vt:lpstr>Harga &amp; Paket</vt:lpstr>
      <vt:lpstr>Info Kost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Gunawan</cp:lastModifiedBy>
  <dcterms:created xsi:type="dcterms:W3CDTF">2026-05-26T06:08:51Z</dcterms:created>
  <dcterms:modified xsi:type="dcterms:W3CDTF">2026-05-26T07:59:27Z</dcterms:modified>
</cp:coreProperties>
</file>